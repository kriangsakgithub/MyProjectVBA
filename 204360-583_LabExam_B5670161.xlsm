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5670161\Downloads\"/>
    </mc:Choice>
  </mc:AlternateContent>
  <bookViews>
    <workbookView xWindow="0" yWindow="0" windowWidth="28800" windowHeight="12435" activeTab="2"/>
  </bookViews>
  <sheets>
    <sheet name="Menu" sheetId="1" r:id="rId1"/>
    <sheet name="DataImported" sheetId="14" r:id="rId2"/>
    <sheet name="Receipt" sheetId="8" r:id="rId3"/>
    <sheet name="Sheet2" sheetId="16" r:id="rId4"/>
    <sheet name="PivotTable" sheetId="13" r:id="rId5"/>
  </sheets>
  <definedNames>
    <definedName name="Time_Attendant" localSheetId="1">DataImported!$A$1:$H$26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8" l="1"/>
  <c r="F27" i="8" s="1"/>
  <c r="F28" i="8" l="1"/>
  <c r="D29" i="8" s="1"/>
</calcChain>
</file>

<file path=xl/connections.xml><?xml version="1.0" encoding="utf-8"?>
<connections xmlns="http://schemas.openxmlformats.org/spreadsheetml/2006/main">
  <connection id="1" name="DataImported.204360-583" type="6" refreshedVersion="5" background="1" saveData="1">
    <textPr prompt="0" codePage="874" sourceFile="C:\Users\B5670161\Downloads\DataImported.204360-583.txt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<sst xmlns="http://schemas.openxmlformats.org/spreadsheetml/2006/main" count="149" uniqueCount="71">
  <si>
    <t>วันที่</t>
  </si>
  <si>
    <t>ผู้ซื้อ</t>
  </si>
  <si>
    <t>ผู้ขาย</t>
  </si>
  <si>
    <t>ราคาต่อชิ้น</t>
  </si>
  <si>
    <t>จำนวน</t>
  </si>
  <si>
    <t>วิธีการจ่าย</t>
  </si>
  <si>
    <t>จังหวัด กทม. 12345</t>
  </si>
  <si>
    <t>โทรศัพท์ 02-1234567</t>
  </si>
  <si>
    <t>โทรสาร 02-1234567</t>
  </si>
  <si>
    <t>เลขที่ผู้เสียภาษีอากร 312345678</t>
  </si>
  <si>
    <t>รายละเอียด</t>
  </si>
  <si>
    <t>จำนวนเงิน</t>
  </si>
  <si>
    <t>รวมเป็นเงิน</t>
  </si>
  <si>
    <t>ภาษีมูลค่าเพิ่ม 7%</t>
  </si>
  <si>
    <t>เงินรวมทั้งสิ้น</t>
  </si>
  <si>
    <t>จำนวนเงินรวมทั้งสิ้น ( ตัวอักษร ) :</t>
  </si>
  <si>
    <t>บริษัท ขายดี๊ดี จำกัด</t>
  </si>
  <si>
    <t>รายการสินค้าที่ซื้อ</t>
  </si>
  <si>
    <t>** ขอบคุณที่ใช้บริการ **</t>
  </si>
  <si>
    <t>ใบเสร็จรับเงิน</t>
  </si>
  <si>
    <t>555 ถนนสุขใจ เขตกำไร แขวงก้าวหน้า</t>
  </si>
  <si>
    <t>สินค้า</t>
  </si>
  <si>
    <t>จำนวนเงินที่จ่าย</t>
  </si>
  <si>
    <t>นาย x</t>
  </si>
  <si>
    <t>sales ง</t>
  </si>
  <si>
    <t>หนังสือ</t>
  </si>
  <si>
    <t>เงินสด</t>
  </si>
  <si>
    <t>นาย a</t>
  </si>
  <si>
    <t>dvd หนัง</t>
  </si>
  <si>
    <t>นาย f</t>
  </si>
  <si>
    <t>sales ข</t>
  </si>
  <si>
    <t>ของเล่น</t>
  </si>
  <si>
    <t>นาย n</t>
  </si>
  <si>
    <t>20/1/2013</t>
  </si>
  <si>
    <t>นาย s</t>
  </si>
  <si>
    <t>นาย j</t>
  </si>
  <si>
    <t>sales ค</t>
  </si>
  <si>
    <t>นาย b</t>
  </si>
  <si>
    <t>เครดิตการ์ด</t>
  </si>
  <si>
    <t>นาย e</t>
  </si>
  <si>
    <t>อาหาร</t>
  </si>
  <si>
    <t>นาย y</t>
  </si>
  <si>
    <t>15/2/2013</t>
  </si>
  <si>
    <t>นาย k</t>
  </si>
  <si>
    <t>sales ก</t>
  </si>
  <si>
    <t>17/2/2013</t>
  </si>
  <si>
    <t>นาย t</t>
  </si>
  <si>
    <t>25/2/2013</t>
  </si>
  <si>
    <t>นาย d</t>
  </si>
  <si>
    <t>นาย g</t>
  </si>
  <si>
    <t>28/2/2013</t>
  </si>
  <si>
    <t>นาย c</t>
  </si>
  <si>
    <t>นาย u</t>
  </si>
  <si>
    <t>นาย i</t>
  </si>
  <si>
    <t>นาย p</t>
  </si>
  <si>
    <t>นาย h</t>
  </si>
  <si>
    <t>นาย q</t>
  </si>
  <si>
    <t>14/3/2013</t>
  </si>
  <si>
    <t>นาย v</t>
  </si>
  <si>
    <t>21/3/2013</t>
  </si>
  <si>
    <t>นาย l</t>
  </si>
  <si>
    <t>25/3/2013</t>
  </si>
  <si>
    <t>นาย m</t>
  </si>
  <si>
    <t>นาย o</t>
  </si>
  <si>
    <t>26/3/2013</t>
  </si>
  <si>
    <t>นาย r</t>
  </si>
  <si>
    <t>28/3/2013</t>
  </si>
  <si>
    <t>นาย w</t>
  </si>
  <si>
    <t>Column1</t>
  </si>
  <si>
    <t>Column2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</si>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</sst>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11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0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2"/>
      <color rgb="FF3F3F3F"/>
      <name val="Calibri"/>
      <family val="2"/>
      <scheme val="minor"/>
    </font>
    <font>
      <i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 style="thick">
        <color theme="0" tint="-0.34998626667073579"/>
      </right>
      <top/>
      <bottom/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/>
      <top/>
      <bottom style="medium">
        <color theme="0" tint="-4.9989318521683403E-2"/>
      </bottom>
      <diagonal/>
    </border>
    <border>
      <left/>
      <right/>
      <top style="thin">
        <color rgb="FF3F3F3F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2" fillId="5" borderId="0" applyNumberFormat="0" applyBorder="0" applyAlignment="0" applyProtection="0"/>
    <xf numFmtId="0" fontId="3" fillId="0" borderId="0"/>
    <xf numFmtId="0" fontId="4" fillId="3" borderId="2" applyNumberFormat="0" applyAlignment="0" applyProtection="0"/>
    <xf numFmtId="0" fontId="7" fillId="4" borderId="0" applyNumberFormat="0" applyBorder="0" applyAlignment="0" applyProtection="0"/>
    <xf numFmtId="0" fontId="8" fillId="2" borderId="1" applyNumberFormat="0" applyAlignment="0" applyProtection="0"/>
  </cellStyleXfs>
  <cellXfs count="38">
    <xf numFmtId="0" fontId="0" fillId="0" borderId="0" xfId="0"/>
    <xf numFmtId="0" fontId="3" fillId="0" borderId="0" xfId="3"/>
    <xf numFmtId="0" fontId="3" fillId="0" borderId="3" xfId="3" applyBorder="1"/>
    <xf numFmtId="0" fontId="3" fillId="0" borderId="4" xfId="3" applyBorder="1"/>
    <xf numFmtId="0" fontId="3" fillId="0" borderId="5" xfId="3" applyBorder="1"/>
    <xf numFmtId="0" fontId="2" fillId="5" borderId="0" xfId="2"/>
    <xf numFmtId="0" fontId="3" fillId="0" borderId="6" xfId="3" applyBorder="1"/>
    <xf numFmtId="0" fontId="3" fillId="0" borderId="0" xfId="3" applyBorder="1"/>
    <xf numFmtId="0" fontId="3" fillId="0" borderId="9" xfId="3" applyBorder="1"/>
    <xf numFmtId="14" fontId="6" fillId="6" borderId="14" xfId="3" applyNumberFormat="1" applyFont="1" applyFill="1" applyBorder="1" applyAlignment="1">
      <alignment horizontal="center"/>
    </xf>
    <xf numFmtId="0" fontId="3" fillId="0" borderId="6" xfId="3" applyBorder="1" applyAlignment="1">
      <alignment horizontal="center" vertical="center"/>
    </xf>
    <xf numFmtId="0" fontId="6" fillId="6" borderId="14" xfId="3" applyFont="1" applyFill="1" applyBorder="1" applyAlignment="1">
      <alignment horizontal="left" vertical="center"/>
    </xf>
    <xf numFmtId="0" fontId="6" fillId="6" borderId="14" xfId="3" applyFont="1" applyFill="1" applyBorder="1" applyAlignment="1">
      <alignment horizontal="center" vertical="center"/>
    </xf>
    <xf numFmtId="0" fontId="6" fillId="6" borderId="14" xfId="3" applyFont="1" applyFill="1" applyBorder="1" applyAlignment="1">
      <alignment vertical="center"/>
    </xf>
    <xf numFmtId="0" fontId="7" fillId="4" borderId="1" xfId="5" applyBorder="1" applyAlignment="1">
      <alignment horizontal="center"/>
    </xf>
    <xf numFmtId="0" fontId="9" fillId="2" borderId="1" xfId="6" applyFont="1" applyBorder="1" applyAlignment="1">
      <alignment horizontal="center"/>
    </xf>
    <xf numFmtId="0" fontId="3" fillId="0" borderId="18" xfId="3" applyBorder="1"/>
    <xf numFmtId="0" fontId="3" fillId="0" borderId="19" xfId="3" applyBorder="1"/>
    <xf numFmtId="0" fontId="3" fillId="0" borderId="20" xfId="3" applyBorder="1"/>
    <xf numFmtId="0" fontId="3" fillId="0" borderId="6" xfId="3" applyBorder="1" applyAlignment="1">
      <alignment horizontal="left"/>
    </xf>
    <xf numFmtId="164" fontId="9" fillId="2" borderId="1" xfId="1" applyFont="1" applyFill="1" applyBorder="1" applyAlignment="1">
      <alignment horizontal="right"/>
    </xf>
    <xf numFmtId="164" fontId="6" fillId="0" borderId="15" xfId="1" applyFont="1" applyBorder="1"/>
    <xf numFmtId="164" fontId="6" fillId="0" borderId="16" xfId="1" applyFont="1" applyBorder="1"/>
    <xf numFmtId="164" fontId="6" fillId="0" borderId="17" xfId="1" applyFont="1" applyBorder="1"/>
    <xf numFmtId="0" fontId="6" fillId="6" borderId="0" xfId="3" applyFont="1" applyFill="1" applyBorder="1" applyAlignment="1">
      <alignment horizontal="left" vertical="center"/>
    </xf>
    <xf numFmtId="0" fontId="6" fillId="6" borderId="0" xfId="3" applyFont="1" applyFill="1" applyBorder="1" applyAlignment="1">
      <alignment horizontal="center" vertical="center"/>
    </xf>
    <xf numFmtId="0" fontId="6" fillId="6" borderId="0" xfId="3" applyFont="1" applyFill="1" applyBorder="1" applyAlignment="1">
      <alignment vertical="center"/>
    </xf>
    <xf numFmtId="0" fontId="0" fillId="0" borderId="0" xfId="0" applyBorder="1"/>
    <xf numFmtId="0" fontId="6" fillId="6" borderId="14" xfId="0" applyFont="1" applyFill="1" applyBorder="1" applyAlignment="1">
      <alignment horizontal="center"/>
    </xf>
    <xf numFmtId="0" fontId="0" fillId="7" borderId="0" xfId="0" applyFill="1"/>
    <xf numFmtId="14" fontId="0" fillId="0" borderId="0" xfId="0" applyNumberFormat="1"/>
    <xf numFmtId="0" fontId="5" fillId="3" borderId="7" xfId="4" applyFont="1" applyBorder="1" applyAlignment="1">
      <alignment horizontal="center" vertical="center"/>
    </xf>
    <xf numFmtId="0" fontId="5" fillId="3" borderId="8" xfId="4" applyFont="1" applyBorder="1" applyAlignment="1">
      <alignment horizontal="center" vertical="center"/>
    </xf>
    <xf numFmtId="0" fontId="5" fillId="3" borderId="10" xfId="4" applyFont="1" applyBorder="1" applyAlignment="1">
      <alignment horizontal="center" vertical="center"/>
    </xf>
    <xf numFmtId="0" fontId="5" fillId="3" borderId="11" xfId="4" applyFont="1" applyBorder="1" applyAlignment="1">
      <alignment horizontal="center" vertical="center"/>
    </xf>
    <xf numFmtId="0" fontId="5" fillId="3" borderId="12" xfId="4" applyFont="1" applyBorder="1" applyAlignment="1">
      <alignment horizontal="center" vertical="center"/>
    </xf>
    <xf numFmtId="0" fontId="5" fillId="3" borderId="13" xfId="4" applyFont="1" applyBorder="1" applyAlignment="1">
      <alignment horizontal="center" vertical="center"/>
    </xf>
    <xf numFmtId="0" fontId="10" fillId="0" borderId="0" xfId="3" applyFont="1" applyBorder="1" applyAlignment="1">
      <alignment horizontal="center"/>
    </xf>
  </cellXfs>
  <cellStyles count="7">
    <cellStyle name="60% - Accent1" xfId="2" builtinId="32"/>
    <cellStyle name="Accent1 2" xfId="5"/>
    <cellStyle name="Check Cell 2" xfId="4"/>
    <cellStyle name="Comma" xfId="1" builtinId="3"/>
    <cellStyle name="Normal" xfId="0" builtinId="0"/>
    <cellStyle name="Normal 2" xfId="3"/>
    <cellStyle name="Output 2" xfId="6"/>
  </cellStyles>
  <dxfs count="5"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17</xdr:row>
          <xdr:rowOff>9525</xdr:rowOff>
        </xdr:from>
        <xdr:to>
          <xdr:col>2</xdr:col>
          <xdr:colOff>295275</xdr:colOff>
          <xdr:row>18</xdr:row>
          <xdr:rowOff>123825</xdr:rowOff>
        </xdr:to>
        <xdr:sp macro="" textlink="">
          <xdr:nvSpPr>
            <xdr:cNvPr id="5121" name="btnImport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20</xdr:row>
          <xdr:rowOff>38100</xdr:rowOff>
        </xdr:from>
        <xdr:to>
          <xdr:col>2</xdr:col>
          <xdr:colOff>333375</xdr:colOff>
          <xdr:row>21</xdr:row>
          <xdr:rowOff>152400</xdr:rowOff>
        </xdr:to>
        <xdr:sp macro="" textlink="">
          <xdr:nvSpPr>
            <xdr:cNvPr id="5122" name="btnPivotTable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2</xdr:row>
          <xdr:rowOff>38100</xdr:rowOff>
        </xdr:from>
        <xdr:to>
          <xdr:col>11</xdr:col>
          <xdr:colOff>352425</xdr:colOff>
          <xdr:row>4</xdr:row>
          <xdr:rowOff>161925</xdr:rowOff>
        </xdr:to>
        <xdr:sp macro="" textlink="">
          <xdr:nvSpPr>
            <xdr:cNvPr id="4097" name="search_receipt_btn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7</xdr:row>
          <xdr:rowOff>76200</xdr:rowOff>
        </xdr:from>
        <xdr:to>
          <xdr:col>11</xdr:col>
          <xdr:colOff>314325</xdr:colOff>
          <xdr:row>9</xdr:row>
          <xdr:rowOff>47625</xdr:rowOff>
        </xdr:to>
        <xdr:sp macro="" textlink="">
          <xdr:nvSpPr>
            <xdr:cNvPr id="4098" name="receipt_no_txtbox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</xdr:row>
          <xdr:rowOff>95250</xdr:rowOff>
        </xdr:from>
        <xdr:to>
          <xdr:col>10</xdr:col>
          <xdr:colOff>600075</xdr:colOff>
          <xdr:row>7</xdr:row>
          <xdr:rowOff>76200</xdr:rowOff>
        </xdr:to>
        <xdr:sp macro="" textlink="">
          <xdr:nvSpPr>
            <xdr:cNvPr id="4099" name="Label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ime Attendant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myTable1" displayName="myTable1" ref="A1:C10" totalsRowShown="0" headerRowDxfId="0" dataDxfId="1">
  <autoFilter ref="A1:C10"/>
  <tableColumns count="3">
    <tableColumn id="1" name="Column1" dataDxfId="4"/>
    <tableColumn id="2" name="Column2" dataDxfId="3"/>
    <tableColumn id="3" name="Column3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"/>
  <sheetViews>
    <sheetView topLeftCell="A16" workbookViewId="0">
      <selection activeCell="C23" sqref="C23"/>
    </sheetView>
  </sheetViews>
  <sheetFormatPr defaultColWidth="9" defaultRowHeight="15"/>
  <cols>
    <col min="1" max="3" width="11" style="29" customWidth="1"/>
    <col min="4" max="16384" width="9" style="29"/>
  </cols>
  <sheetData>
    <row r="1" spans="1:3">
      <c r="A1" s="29" t="s">
        <v>68</v>
      </c>
      <c r="B1" s="29" t="s">
        <v>69</v>
      </c>
      <c r="C1" s="29" t="s">
        <v>70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Import">
          <controlPr autoLine="0" r:id="rId4">
            <anchor moveWithCells="1">
              <from>
                <xdr:col>1</xdr:col>
                <xdr:colOff>114300</xdr:colOff>
                <xdr:row>17</xdr:row>
                <xdr:rowOff>9525</xdr:rowOff>
              </from>
              <to>
                <xdr:col>2</xdr:col>
                <xdr:colOff>428625</xdr:colOff>
                <xdr:row>18</xdr:row>
                <xdr:rowOff>123825</xdr:rowOff>
              </to>
            </anchor>
          </controlPr>
        </control>
      </mc:Choice>
      <mc:Fallback>
        <control shapeId="5121" r:id="rId3" name="btnImport"/>
      </mc:Fallback>
    </mc:AlternateContent>
    <mc:AlternateContent xmlns:mc="http://schemas.openxmlformats.org/markup-compatibility/2006">
      <mc:Choice Requires="x14">
        <control shapeId="5122" r:id="rId5" name="btnPivotTable">
          <controlPr autoLine="0" r:id="rId6">
            <anchor moveWithCells="1">
              <from>
                <xdr:col>1</xdr:col>
                <xdr:colOff>152400</xdr:colOff>
                <xdr:row>20</xdr:row>
                <xdr:rowOff>38100</xdr:rowOff>
              </from>
              <to>
                <xdr:col>2</xdr:col>
                <xdr:colOff>333375</xdr:colOff>
                <xdr:row>21</xdr:row>
                <xdr:rowOff>152400</xdr:rowOff>
              </to>
            </anchor>
          </controlPr>
        </control>
      </mc:Choice>
      <mc:Fallback>
        <control shapeId="5122" r:id="rId5" name="btnPivotTable"/>
      </mc:Fallback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6"/>
  <sheetViews>
    <sheetView workbookViewId="0">
      <selection activeCell="B3" sqref="B3"/>
    </sheetView>
  </sheetViews>
  <sheetFormatPr defaultRowHeight="15"/>
  <cols>
    <col min="1" max="1" width="9.7109375" bestFit="1" customWidth="1"/>
    <col min="2" max="2" width="6.7109375" bestFit="1" customWidth="1"/>
    <col min="3" max="3" width="7.140625" bestFit="1" customWidth="1"/>
    <col min="4" max="4" width="8.42578125" bestFit="1" customWidth="1"/>
    <col min="5" max="5" width="10.28515625" bestFit="1" customWidth="1"/>
    <col min="6" max="6" width="6.7109375" bestFit="1" customWidth="1"/>
    <col min="7" max="7" width="14.85546875" bestFit="1" customWidth="1"/>
    <col min="8" max="8" width="10.85546875" bestFit="1" customWidth="1"/>
  </cols>
  <sheetData>
    <row r="1" spans="1:8">
      <c r="A1" t="s">
        <v>0</v>
      </c>
      <c r="B1" t="s">
        <v>1</v>
      </c>
      <c r="C1" t="s">
        <v>2</v>
      </c>
      <c r="D1" t="s">
        <v>21</v>
      </c>
      <c r="E1" t="s">
        <v>3</v>
      </c>
      <c r="F1" t="s">
        <v>4</v>
      </c>
      <c r="G1" t="s">
        <v>22</v>
      </c>
      <c r="H1" t="s">
        <v>5</v>
      </c>
    </row>
    <row r="2" spans="1:8">
      <c r="A2" s="30">
        <v>41275</v>
      </c>
      <c r="B2" t="s">
        <v>23</v>
      </c>
      <c r="C2" t="s">
        <v>24</v>
      </c>
      <c r="D2" t="s">
        <v>25</v>
      </c>
      <c r="E2">
        <v>190</v>
      </c>
      <c r="F2">
        <v>2</v>
      </c>
      <c r="G2">
        <v>380</v>
      </c>
      <c r="H2" t="s">
        <v>26</v>
      </c>
    </row>
    <row r="3" spans="1:8">
      <c r="A3" s="30">
        <v>41365</v>
      </c>
      <c r="B3" t="s">
        <v>27</v>
      </c>
      <c r="C3" t="s">
        <v>24</v>
      </c>
      <c r="D3" t="s">
        <v>28</v>
      </c>
      <c r="E3">
        <v>499</v>
      </c>
      <c r="F3">
        <v>2</v>
      </c>
      <c r="G3">
        <v>998</v>
      </c>
      <c r="H3" t="s">
        <v>26</v>
      </c>
    </row>
    <row r="4" spans="1:8">
      <c r="A4" s="30">
        <v>41395</v>
      </c>
      <c r="B4" t="s">
        <v>29</v>
      </c>
      <c r="C4" t="s">
        <v>30</v>
      </c>
      <c r="D4" t="s">
        <v>31</v>
      </c>
      <c r="E4">
        <v>400</v>
      </c>
      <c r="F4">
        <v>1</v>
      </c>
      <c r="G4">
        <v>400</v>
      </c>
      <c r="H4" t="s">
        <v>26</v>
      </c>
    </row>
    <row r="5" spans="1:8">
      <c r="A5" s="30">
        <v>41487</v>
      </c>
      <c r="B5" t="s">
        <v>32</v>
      </c>
      <c r="C5" t="s">
        <v>30</v>
      </c>
      <c r="D5" t="s">
        <v>28</v>
      </c>
      <c r="E5">
        <v>499</v>
      </c>
      <c r="F5">
        <v>3</v>
      </c>
      <c r="G5">
        <v>1497</v>
      </c>
      <c r="H5" t="s">
        <v>26</v>
      </c>
    </row>
    <row r="6" spans="1:8">
      <c r="A6" t="s">
        <v>33</v>
      </c>
      <c r="B6" t="s">
        <v>34</v>
      </c>
      <c r="C6" t="s">
        <v>30</v>
      </c>
      <c r="D6" t="s">
        <v>31</v>
      </c>
      <c r="E6">
        <v>550</v>
      </c>
      <c r="F6">
        <v>2</v>
      </c>
      <c r="G6">
        <v>1100</v>
      </c>
      <c r="H6" t="s">
        <v>26</v>
      </c>
    </row>
    <row r="7" spans="1:8">
      <c r="A7" s="30">
        <v>41519</v>
      </c>
      <c r="B7" t="s">
        <v>35</v>
      </c>
      <c r="C7" t="s">
        <v>36</v>
      </c>
      <c r="D7" t="s">
        <v>31</v>
      </c>
      <c r="E7">
        <v>400</v>
      </c>
      <c r="F7">
        <v>5</v>
      </c>
      <c r="G7">
        <v>2000</v>
      </c>
      <c r="H7" t="s">
        <v>26</v>
      </c>
    </row>
    <row r="8" spans="1:8">
      <c r="A8" s="30">
        <v>41519</v>
      </c>
      <c r="B8" t="s">
        <v>37</v>
      </c>
      <c r="C8" t="s">
        <v>30</v>
      </c>
      <c r="D8" t="s">
        <v>31</v>
      </c>
      <c r="E8">
        <v>250</v>
      </c>
      <c r="F8">
        <v>2</v>
      </c>
      <c r="G8">
        <v>500</v>
      </c>
      <c r="H8" t="s">
        <v>38</v>
      </c>
    </row>
    <row r="9" spans="1:8">
      <c r="A9" s="30">
        <v>41519</v>
      </c>
      <c r="B9" t="s">
        <v>39</v>
      </c>
      <c r="C9" t="s">
        <v>36</v>
      </c>
      <c r="D9" t="s">
        <v>40</v>
      </c>
      <c r="E9">
        <v>90</v>
      </c>
      <c r="F9">
        <v>3</v>
      </c>
      <c r="G9">
        <v>270</v>
      </c>
      <c r="H9" t="s">
        <v>26</v>
      </c>
    </row>
    <row r="10" spans="1:8">
      <c r="A10" s="30">
        <v>41549</v>
      </c>
      <c r="B10" t="s">
        <v>41</v>
      </c>
      <c r="C10" t="s">
        <v>24</v>
      </c>
      <c r="D10" t="s">
        <v>40</v>
      </c>
      <c r="E10">
        <v>40</v>
      </c>
      <c r="F10">
        <v>4</v>
      </c>
      <c r="G10">
        <v>160</v>
      </c>
      <c r="H10" t="s">
        <v>38</v>
      </c>
    </row>
    <row r="11" spans="1:8">
      <c r="A11" t="s">
        <v>42</v>
      </c>
      <c r="B11" t="s">
        <v>43</v>
      </c>
      <c r="C11" t="s">
        <v>44</v>
      </c>
      <c r="D11" t="s">
        <v>40</v>
      </c>
      <c r="E11">
        <v>90</v>
      </c>
      <c r="F11">
        <v>4</v>
      </c>
      <c r="G11">
        <v>360</v>
      </c>
      <c r="H11" t="s">
        <v>26</v>
      </c>
    </row>
    <row r="12" spans="1:8">
      <c r="A12" t="s">
        <v>45</v>
      </c>
      <c r="B12" t="s">
        <v>46</v>
      </c>
      <c r="C12" t="s">
        <v>44</v>
      </c>
      <c r="D12" t="s">
        <v>31</v>
      </c>
      <c r="E12">
        <v>250</v>
      </c>
      <c r="F12">
        <v>2</v>
      </c>
      <c r="G12">
        <v>500</v>
      </c>
      <c r="H12" t="s">
        <v>26</v>
      </c>
    </row>
    <row r="13" spans="1:8">
      <c r="A13" t="s">
        <v>47</v>
      </c>
      <c r="B13" t="s">
        <v>48</v>
      </c>
      <c r="C13" t="s">
        <v>24</v>
      </c>
      <c r="D13" t="s">
        <v>40</v>
      </c>
      <c r="E13">
        <v>40</v>
      </c>
      <c r="F13">
        <v>4</v>
      </c>
      <c r="G13">
        <v>160</v>
      </c>
      <c r="H13" t="s">
        <v>26</v>
      </c>
    </row>
    <row r="14" spans="1:8">
      <c r="A14" t="s">
        <v>47</v>
      </c>
      <c r="B14" t="s">
        <v>49</v>
      </c>
      <c r="C14" t="s">
        <v>44</v>
      </c>
      <c r="D14" t="s">
        <v>25</v>
      </c>
      <c r="E14">
        <v>190</v>
      </c>
      <c r="F14">
        <v>5</v>
      </c>
      <c r="G14">
        <v>950</v>
      </c>
      <c r="H14" t="s">
        <v>38</v>
      </c>
    </row>
    <row r="15" spans="1:8">
      <c r="A15" t="s">
        <v>50</v>
      </c>
      <c r="B15" t="s">
        <v>51</v>
      </c>
      <c r="C15" t="s">
        <v>30</v>
      </c>
      <c r="D15" t="s">
        <v>28</v>
      </c>
      <c r="E15">
        <v>499</v>
      </c>
      <c r="F15">
        <v>1</v>
      </c>
      <c r="G15">
        <v>499</v>
      </c>
      <c r="H15" t="s">
        <v>26</v>
      </c>
    </row>
    <row r="16" spans="1:8">
      <c r="A16" s="30">
        <v>41367</v>
      </c>
      <c r="B16" t="s">
        <v>52</v>
      </c>
      <c r="C16" t="s">
        <v>44</v>
      </c>
      <c r="D16" t="s">
        <v>31</v>
      </c>
      <c r="E16">
        <v>550</v>
      </c>
      <c r="F16">
        <v>5</v>
      </c>
      <c r="G16">
        <v>2750</v>
      </c>
      <c r="H16" t="s">
        <v>26</v>
      </c>
    </row>
    <row r="17" spans="1:8">
      <c r="A17" s="30">
        <v>41397</v>
      </c>
      <c r="B17" t="s">
        <v>53</v>
      </c>
      <c r="C17" t="s">
        <v>44</v>
      </c>
      <c r="D17" t="s">
        <v>40</v>
      </c>
      <c r="E17">
        <v>40</v>
      </c>
      <c r="F17">
        <v>4</v>
      </c>
      <c r="G17">
        <v>160</v>
      </c>
      <c r="H17" t="s">
        <v>26</v>
      </c>
    </row>
    <row r="18" spans="1:8">
      <c r="A18" s="30">
        <v>41397</v>
      </c>
      <c r="B18" t="s">
        <v>54</v>
      </c>
      <c r="C18" t="s">
        <v>30</v>
      </c>
      <c r="D18" t="s">
        <v>31</v>
      </c>
      <c r="E18">
        <v>250</v>
      </c>
      <c r="F18">
        <v>1</v>
      </c>
      <c r="G18">
        <v>250</v>
      </c>
      <c r="H18" t="s">
        <v>26</v>
      </c>
    </row>
    <row r="19" spans="1:8">
      <c r="A19" s="30">
        <v>41489</v>
      </c>
      <c r="B19" t="s">
        <v>55</v>
      </c>
      <c r="C19" t="s">
        <v>44</v>
      </c>
      <c r="D19" t="s">
        <v>40</v>
      </c>
      <c r="E19">
        <v>40</v>
      </c>
      <c r="F19">
        <v>5</v>
      </c>
      <c r="G19">
        <v>200</v>
      </c>
      <c r="H19" t="s">
        <v>26</v>
      </c>
    </row>
    <row r="20" spans="1:8">
      <c r="A20" s="30">
        <v>41611</v>
      </c>
      <c r="B20" t="s">
        <v>56</v>
      </c>
      <c r="C20" t="s">
        <v>30</v>
      </c>
      <c r="D20" t="s">
        <v>31</v>
      </c>
      <c r="E20">
        <v>250</v>
      </c>
      <c r="F20">
        <v>4</v>
      </c>
      <c r="G20">
        <v>1000</v>
      </c>
      <c r="H20" t="s">
        <v>38</v>
      </c>
    </row>
    <row r="21" spans="1:8">
      <c r="A21" t="s">
        <v>57</v>
      </c>
      <c r="B21" t="s">
        <v>58</v>
      </c>
      <c r="C21" t="s">
        <v>44</v>
      </c>
      <c r="D21" t="s">
        <v>40</v>
      </c>
      <c r="E21">
        <v>90</v>
      </c>
      <c r="F21">
        <v>4</v>
      </c>
      <c r="G21">
        <v>360</v>
      </c>
      <c r="H21" t="s">
        <v>26</v>
      </c>
    </row>
    <row r="22" spans="1:8">
      <c r="A22" t="s">
        <v>59</v>
      </c>
      <c r="B22" t="s">
        <v>60</v>
      </c>
      <c r="C22" t="s">
        <v>44</v>
      </c>
      <c r="D22" t="s">
        <v>28</v>
      </c>
      <c r="E22">
        <v>499</v>
      </c>
      <c r="F22">
        <v>4</v>
      </c>
      <c r="G22">
        <v>1996</v>
      </c>
      <c r="H22" t="s">
        <v>38</v>
      </c>
    </row>
    <row r="23" spans="1:8">
      <c r="A23" t="s">
        <v>61</v>
      </c>
      <c r="B23" t="s">
        <v>62</v>
      </c>
      <c r="C23" t="s">
        <v>44</v>
      </c>
      <c r="D23" t="s">
        <v>31</v>
      </c>
      <c r="E23">
        <v>550</v>
      </c>
      <c r="F23">
        <v>1</v>
      </c>
      <c r="G23">
        <v>550</v>
      </c>
      <c r="H23" t="s">
        <v>38</v>
      </c>
    </row>
    <row r="24" spans="1:8">
      <c r="A24" t="s">
        <v>61</v>
      </c>
      <c r="B24" t="s">
        <v>63</v>
      </c>
      <c r="C24" t="s">
        <v>36</v>
      </c>
      <c r="D24" t="s">
        <v>28</v>
      </c>
      <c r="E24">
        <v>399</v>
      </c>
      <c r="F24">
        <v>3</v>
      </c>
      <c r="G24">
        <v>1197</v>
      </c>
      <c r="H24" t="s">
        <v>26</v>
      </c>
    </row>
    <row r="25" spans="1:8">
      <c r="A25" t="s">
        <v>64</v>
      </c>
      <c r="B25" t="s">
        <v>65</v>
      </c>
      <c r="C25" t="s">
        <v>30</v>
      </c>
      <c r="D25" t="s">
        <v>28</v>
      </c>
      <c r="E25">
        <v>299</v>
      </c>
      <c r="F25">
        <v>5</v>
      </c>
      <c r="G25">
        <v>1495</v>
      </c>
      <c r="H25" t="s">
        <v>38</v>
      </c>
    </row>
    <row r="26" spans="1:8">
      <c r="A26" t="s">
        <v>66</v>
      </c>
      <c r="B26" t="s">
        <v>67</v>
      </c>
      <c r="C26" t="s">
        <v>30</v>
      </c>
      <c r="D26" t="s">
        <v>40</v>
      </c>
      <c r="E26">
        <v>40</v>
      </c>
      <c r="F26">
        <v>3</v>
      </c>
      <c r="G26">
        <v>120</v>
      </c>
      <c r="H26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L33"/>
  <sheetViews>
    <sheetView showGridLines="0" tabSelected="1" zoomScaleNormal="100" workbookViewId="0">
      <selection activeCell="K3" sqref="K3"/>
    </sheetView>
  </sheetViews>
  <sheetFormatPr defaultColWidth="9" defaultRowHeight="15"/>
  <cols>
    <col min="1" max="1" width="2.7109375" style="1" customWidth="1"/>
    <col min="2" max="2" width="8.7109375" style="1" customWidth="1"/>
    <col min="3" max="3" width="37.7109375" style="1" customWidth="1"/>
    <col min="4" max="4" width="15.5703125" style="1" customWidth="1"/>
    <col min="5" max="5" width="18.5703125" style="1" customWidth="1"/>
    <col min="6" max="6" width="22.140625" style="1" customWidth="1"/>
    <col min="7" max="7" width="9" style="1"/>
    <col min="8" max="8" width="3.7109375" style="1" customWidth="1"/>
    <col min="9" max="16384" width="9" style="1"/>
  </cols>
  <sheetData>
    <row r="1" spans="2:12" ht="15.75" thickBot="1"/>
    <row r="2" spans="2:12" ht="16.5" thickTop="1" thickBot="1">
      <c r="B2" s="2"/>
      <c r="C2" s="3" t="s">
        <v>16</v>
      </c>
      <c r="D2" s="3"/>
      <c r="E2" s="3"/>
      <c r="F2" s="3"/>
      <c r="G2" s="4"/>
      <c r="I2" s="5"/>
      <c r="J2" s="5"/>
      <c r="K2" s="5"/>
      <c r="L2" s="5"/>
    </row>
    <row r="3" spans="2:12" ht="15.75" thickTop="1">
      <c r="B3" s="6"/>
      <c r="C3" s="7" t="s">
        <v>20</v>
      </c>
      <c r="D3" s="7"/>
      <c r="E3" s="31" t="s">
        <v>19</v>
      </c>
      <c r="F3" s="32"/>
      <c r="G3" s="8"/>
      <c r="I3" s="5"/>
      <c r="J3" s="5"/>
      <c r="K3" s="5"/>
      <c r="L3" s="5"/>
    </row>
    <row r="4" spans="2:12">
      <c r="B4" s="6"/>
      <c r="C4" s="7" t="s">
        <v>6</v>
      </c>
      <c r="D4" s="7"/>
      <c r="E4" s="33"/>
      <c r="F4" s="34"/>
      <c r="G4" s="8"/>
      <c r="I4" s="5"/>
      <c r="J4" s="5"/>
      <c r="K4" s="5"/>
      <c r="L4" s="5"/>
    </row>
    <row r="5" spans="2:12" ht="15.75" thickBot="1">
      <c r="B5" s="6"/>
      <c r="C5" s="7" t="s">
        <v>7</v>
      </c>
      <c r="D5" s="7"/>
      <c r="E5" s="35"/>
      <c r="F5" s="36"/>
      <c r="G5" s="8"/>
      <c r="I5" s="5"/>
      <c r="J5" s="5"/>
      <c r="K5" s="5"/>
      <c r="L5" s="5"/>
    </row>
    <row r="6" spans="2:12" ht="15.75" thickTop="1">
      <c r="B6" s="6"/>
      <c r="C6" s="7" t="s">
        <v>8</v>
      </c>
      <c r="D6" s="7"/>
      <c r="E6" s="7"/>
      <c r="F6" s="7"/>
      <c r="G6" s="8"/>
      <c r="I6" s="5"/>
      <c r="J6" s="5"/>
      <c r="K6" s="5"/>
      <c r="L6" s="5"/>
    </row>
    <row r="7" spans="2:12">
      <c r="B7" s="6"/>
      <c r="C7" s="7" t="s">
        <v>9</v>
      </c>
      <c r="D7" s="7"/>
      <c r="E7" s="7"/>
      <c r="F7" s="7"/>
      <c r="G7" s="8"/>
      <c r="I7" s="5"/>
      <c r="J7" s="5"/>
      <c r="K7" s="5"/>
      <c r="L7" s="5"/>
    </row>
    <row r="8" spans="2:12">
      <c r="B8" s="6"/>
      <c r="C8" s="7"/>
      <c r="D8" s="7"/>
      <c r="E8" s="7"/>
      <c r="F8" s="7"/>
      <c r="G8" s="8"/>
      <c r="I8" s="5"/>
      <c r="J8" s="5"/>
      <c r="K8" s="5"/>
      <c r="L8" s="5"/>
    </row>
    <row r="9" spans="2:12" ht="16.5" thickBot="1">
      <c r="B9" s="6"/>
      <c r="C9" s="7"/>
      <c r="D9" s="7"/>
      <c r="E9" s="7" t="s">
        <v>0</v>
      </c>
      <c r="F9" s="9" t="s">
        <v>47</v>
      </c>
      <c r="G9" s="8"/>
      <c r="I9" s="5"/>
      <c r="J9" s="5"/>
      <c r="K9" s="5"/>
      <c r="L9" s="5"/>
    </row>
    <row r="10" spans="2:12" ht="16.5" thickBot="1">
      <c r="B10" s="6"/>
      <c r="C10" s="7"/>
      <c r="D10" s="7"/>
      <c r="E10" s="27" t="s">
        <v>5</v>
      </c>
      <c r="F10" s="28" t="s">
        <v>38</v>
      </c>
      <c r="G10" s="8"/>
      <c r="I10" s="5"/>
      <c r="J10" s="5"/>
      <c r="K10" s="5"/>
      <c r="L10" s="5"/>
    </row>
    <row r="11" spans="2:12">
      <c r="B11" s="6"/>
      <c r="C11" s="7"/>
      <c r="D11" s="7"/>
      <c r="E11" s="7"/>
      <c r="F11" s="7"/>
      <c r="G11" s="8"/>
      <c r="I11" s="5"/>
      <c r="J11" s="5"/>
      <c r="K11" s="5"/>
      <c r="L11" s="5"/>
    </row>
    <row r="12" spans="2:12" ht="24.95" customHeight="1" thickBot="1">
      <c r="B12" s="10" t="s">
        <v>1</v>
      </c>
      <c r="C12" s="11" t="s">
        <v>49</v>
      </c>
      <c r="D12" s="12"/>
      <c r="E12" s="13"/>
      <c r="F12" s="13"/>
      <c r="G12" s="8"/>
    </row>
    <row r="13" spans="2:12" ht="24.95" customHeight="1">
      <c r="B13" s="10" t="s">
        <v>2</v>
      </c>
      <c r="C13" s="24" t="s">
        <v>44</v>
      </c>
      <c r="D13" s="25"/>
      <c r="E13" s="26"/>
      <c r="F13" s="26"/>
      <c r="G13" s="8"/>
    </row>
    <row r="14" spans="2:12" ht="24.95" customHeight="1">
      <c r="B14" s="19"/>
      <c r="C14" s="7" t="s">
        <v>17</v>
      </c>
      <c r="D14" s="7"/>
      <c r="E14" s="7"/>
      <c r="F14" s="7"/>
      <c r="G14" s="8"/>
    </row>
    <row r="15" spans="2:12" ht="24.75" customHeight="1">
      <c r="B15" s="6"/>
      <c r="C15" s="14" t="s">
        <v>10</v>
      </c>
      <c r="D15" s="14" t="s">
        <v>4</v>
      </c>
      <c r="E15" s="14" t="s">
        <v>3</v>
      </c>
      <c r="F15" s="14" t="s">
        <v>11</v>
      </c>
      <c r="G15" s="8"/>
    </row>
    <row r="16" spans="2:12" ht="15.75">
      <c r="B16" s="6"/>
      <c r="C16" s="15" t="s">
        <v>25</v>
      </c>
      <c r="D16" s="15">
        <v>5</v>
      </c>
      <c r="E16" s="15">
        <v>190</v>
      </c>
      <c r="F16" s="20">
        <v>950</v>
      </c>
      <c r="G16" s="8"/>
    </row>
    <row r="17" spans="2:7" ht="15.75">
      <c r="B17" s="6"/>
      <c r="C17" s="15"/>
      <c r="D17" s="15"/>
      <c r="E17" s="15"/>
      <c r="F17" s="20"/>
      <c r="G17" s="8"/>
    </row>
    <row r="18" spans="2:7" ht="15.75">
      <c r="B18" s="6"/>
      <c r="C18" s="15"/>
      <c r="D18" s="15"/>
      <c r="E18" s="15"/>
      <c r="F18" s="20"/>
      <c r="G18" s="8"/>
    </row>
    <row r="19" spans="2:7" ht="15.75">
      <c r="B19" s="6"/>
      <c r="C19" s="15"/>
      <c r="D19" s="15"/>
      <c r="E19" s="15"/>
      <c r="F19" s="20"/>
      <c r="G19" s="8"/>
    </row>
    <row r="20" spans="2:7" ht="15.75">
      <c r="B20" s="6"/>
      <c r="C20" s="15"/>
      <c r="D20" s="15"/>
      <c r="E20" s="15"/>
      <c r="F20" s="20"/>
      <c r="G20" s="8"/>
    </row>
    <row r="21" spans="2:7" ht="15.75">
      <c r="B21" s="6"/>
      <c r="C21" s="15"/>
      <c r="D21" s="15"/>
      <c r="E21" s="15"/>
      <c r="F21" s="20"/>
      <c r="G21" s="8"/>
    </row>
    <row r="22" spans="2:7" ht="15.75">
      <c r="B22" s="6"/>
      <c r="C22" s="15"/>
      <c r="D22" s="15"/>
      <c r="E22" s="15"/>
      <c r="F22" s="20"/>
      <c r="G22" s="8"/>
    </row>
    <row r="23" spans="2:7" ht="15.75">
      <c r="B23" s="6"/>
      <c r="C23" s="15"/>
      <c r="D23" s="15"/>
      <c r="E23" s="15"/>
      <c r="F23" s="20"/>
      <c r="G23" s="8"/>
    </row>
    <row r="24" spans="2:7" ht="15.75">
      <c r="B24" s="6"/>
      <c r="C24" s="15"/>
      <c r="D24" s="15"/>
      <c r="E24" s="15"/>
      <c r="F24" s="20"/>
      <c r="G24" s="8"/>
    </row>
    <row r="25" spans="2:7" ht="15.75">
      <c r="B25" s="6"/>
      <c r="C25" s="15"/>
      <c r="D25" s="15"/>
      <c r="E25" s="15"/>
      <c r="F25" s="20"/>
      <c r="G25" s="8"/>
    </row>
    <row r="26" spans="2:7" ht="15.75">
      <c r="B26" s="6"/>
      <c r="C26" s="7"/>
      <c r="D26" s="7"/>
      <c r="E26" s="7" t="s">
        <v>12</v>
      </c>
      <c r="F26" s="21">
        <f>SUM(F16:F25)</f>
        <v>950</v>
      </c>
      <c r="G26" s="8"/>
    </row>
    <row r="27" spans="2:7" ht="15.75">
      <c r="B27" s="6"/>
      <c r="C27" s="7"/>
      <c r="D27" s="7"/>
      <c r="E27" s="7" t="s">
        <v>13</v>
      </c>
      <c r="F27" s="22">
        <f>0.07*F26</f>
        <v>66.5</v>
      </c>
      <c r="G27" s="8"/>
    </row>
    <row r="28" spans="2:7" ht="17.100000000000001" customHeight="1" thickBot="1">
      <c r="B28" s="6"/>
      <c r="C28" s="7"/>
      <c r="D28" s="7"/>
      <c r="E28" s="7" t="s">
        <v>14</v>
      </c>
      <c r="F28" s="23">
        <f>F26+F27</f>
        <v>1016.5</v>
      </c>
      <c r="G28" s="8"/>
    </row>
    <row r="29" spans="2:7" ht="17.100000000000001" customHeight="1" thickTop="1">
      <c r="B29" s="6"/>
      <c r="C29" s="7" t="s">
        <v>15</v>
      </c>
      <c r="D29" s="7" t="str">
        <f>BAHTTEXT(F28)</f>
        <v>หนึ่งพันสิบหกบาทห้าสิบสตางค์</v>
      </c>
      <c r="E29" s="7"/>
      <c r="F29" s="7"/>
      <c r="G29" s="8"/>
    </row>
    <row r="30" spans="2:7" ht="17.100000000000001" customHeight="1">
      <c r="B30" s="6"/>
      <c r="C30" s="7"/>
      <c r="D30" s="7"/>
      <c r="E30" s="7"/>
      <c r="F30" s="7"/>
      <c r="G30" s="8"/>
    </row>
    <row r="31" spans="2:7">
      <c r="B31" s="6"/>
      <c r="C31" s="37" t="s">
        <v>18</v>
      </c>
      <c r="D31" s="37"/>
      <c r="E31" s="37"/>
      <c r="F31" s="37"/>
      <c r="G31" s="8"/>
    </row>
    <row r="32" spans="2:7" ht="20.100000000000001" customHeight="1" thickBot="1">
      <c r="B32" s="16"/>
      <c r="C32" s="17"/>
      <c r="D32" s="17"/>
      <c r="E32" s="17"/>
      <c r="F32" s="17"/>
      <c r="G32" s="18"/>
    </row>
    <row r="33" ht="20.100000000000001" customHeight="1" thickTop="1"/>
  </sheetData>
  <mergeCells count="2">
    <mergeCell ref="E3:F5"/>
    <mergeCell ref="C31:F31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4099" r:id="rId4" name="Label1">
          <controlPr defaultSize="0" autoLine="0" autoPict="0" r:id="rId5">
            <anchor moveWithCells="1">
              <from>
                <xdr:col>9</xdr:col>
                <xdr:colOff>9525</xdr:colOff>
                <xdr:row>5</xdr:row>
                <xdr:rowOff>95250</xdr:rowOff>
              </from>
              <to>
                <xdr:col>10</xdr:col>
                <xdr:colOff>600075</xdr:colOff>
                <xdr:row>7</xdr:row>
                <xdr:rowOff>76200</xdr:rowOff>
              </to>
            </anchor>
          </controlPr>
        </control>
      </mc:Choice>
      <mc:Fallback>
        <control shapeId="4099" r:id="rId4" name="Label1"/>
      </mc:Fallback>
    </mc:AlternateContent>
    <mc:AlternateContent xmlns:mc="http://schemas.openxmlformats.org/markup-compatibility/2006">
      <mc:Choice Requires="x14">
        <control shapeId="4098" r:id="rId6" name="receipt_no_txtbox">
          <controlPr defaultSize="0" autoLine="0" autoPict="0" r:id="rId7">
            <anchor moveWithCells="1">
              <from>
                <xdr:col>8</xdr:col>
                <xdr:colOff>323850</xdr:colOff>
                <xdr:row>7</xdr:row>
                <xdr:rowOff>76200</xdr:rowOff>
              </from>
              <to>
                <xdr:col>11</xdr:col>
                <xdr:colOff>314325</xdr:colOff>
                <xdr:row>9</xdr:row>
                <xdr:rowOff>47625</xdr:rowOff>
              </to>
            </anchor>
          </controlPr>
        </control>
      </mc:Choice>
      <mc:Fallback>
        <control shapeId="4098" r:id="rId6" name="receipt_no_txtbox"/>
      </mc:Fallback>
    </mc:AlternateContent>
    <mc:AlternateContent xmlns:mc="http://schemas.openxmlformats.org/markup-compatibility/2006">
      <mc:Choice Requires="x14">
        <control shapeId="4097" r:id="rId8" name="search_receipt_btn">
          <controlPr defaultSize="0" autoLine="0" autoPict="0" r:id="rId9">
            <anchor moveWithCells="1">
              <from>
                <xdr:col>8</xdr:col>
                <xdr:colOff>247650</xdr:colOff>
                <xdr:row>2</xdr:row>
                <xdr:rowOff>38100</xdr:rowOff>
              </from>
              <to>
                <xdr:col>11</xdr:col>
                <xdr:colOff>352425</xdr:colOff>
                <xdr:row>4</xdr:row>
                <xdr:rowOff>161925</xdr:rowOff>
              </to>
            </anchor>
          </controlPr>
        </control>
      </mc:Choice>
      <mc:Fallback>
        <control shapeId="4097" r:id="rId8" name="search_receipt_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/>
  <cols>
    <col min="1" max="6" width="1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Menu</vt:lpstr>
      <vt:lpstr>DataImported</vt:lpstr>
      <vt:lpstr>Receipt</vt:lpstr>
      <vt:lpstr>Sheet2</vt:lpstr>
      <vt:lpstr>PivotTable</vt:lpstr>
      <vt:lpstr>DataImported!Time_Attendant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cherpompom</dc:creator>
  <cp:lastModifiedBy>ธนบัณฑิต งามสุด</cp:lastModifiedBy>
  <dcterms:created xsi:type="dcterms:W3CDTF">2016-05-13T15:31:50Z</dcterms:created>
  <dcterms:modified xsi:type="dcterms:W3CDTF">2016-05-23T08:24:50Z</dcterms:modified>
</cp:coreProperties>
</file>